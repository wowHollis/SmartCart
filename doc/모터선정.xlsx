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1" l="1"/>
  <c r="B7" i="1"/>
  <c r="B8" i="1"/>
  <c r="D8" i="1"/>
  <c r="B13" i="1"/>
  <c r="B14" i="1"/>
  <c r="B15" i="1"/>
  <c r="B17" i="1"/>
  <c r="B19" i="1"/>
</calcChain>
</file>

<file path=xl/sharedStrings.xml><?xml version="1.0" encoding="utf-8"?>
<sst xmlns="http://schemas.openxmlformats.org/spreadsheetml/2006/main" count="35" uniqueCount="33">
  <si>
    <t>최고속도</t>
  </si>
  <si>
    <t>km/h</t>
  </si>
  <si>
    <t>바퀴지름</t>
  </si>
  <si>
    <t>cm</t>
  </si>
  <si>
    <r>
      <t>2</t>
    </r>
    <r>
      <rPr>
        <sz val="12"/>
        <color theme="1"/>
        <rFont val="굴림"/>
        <family val="2"/>
        <charset val="129"/>
      </rPr>
      <t>개</t>
    </r>
  </si>
  <si>
    <t>운행시간</t>
  </si>
  <si>
    <r>
      <t>5~10</t>
    </r>
    <r>
      <rPr>
        <sz val="12"/>
        <color theme="1"/>
        <rFont val="굴림"/>
        <family val="2"/>
        <charset val="129"/>
      </rPr>
      <t>분</t>
    </r>
  </si>
  <si>
    <t>부하관성모멘트</t>
  </si>
  <si>
    <t>중량</t>
  </si>
  <si>
    <t>모터 등속회전 속도</t>
  </si>
  <si>
    <t>가속구간</t>
  </si>
  <si>
    <t>m/s</t>
  </si>
  <si>
    <t>바퀴둘레</t>
  </si>
  <si>
    <t>초당 회전수</t>
  </si>
  <si>
    <t>r/s</t>
  </si>
  <si>
    <t>s</t>
  </si>
  <si>
    <t>kg</t>
  </si>
  <si>
    <r>
      <t>(</t>
    </r>
    <r>
      <rPr>
        <sz val="12"/>
        <color theme="1"/>
        <rFont val="굴림"/>
        <family val="2"/>
        <charset val="129"/>
      </rPr>
      <t>모터포함)</t>
    </r>
  </si>
  <si>
    <t>kg cm^2</t>
  </si>
  <si>
    <t>가속 토크</t>
  </si>
  <si>
    <t>kg cm</t>
  </si>
  <si>
    <t>등속 토크</t>
  </si>
  <si>
    <t>모터 최고 토크</t>
  </si>
  <si>
    <t>안전계수</t>
  </si>
  <si>
    <t>최종 모터 토크</t>
  </si>
  <si>
    <t>kg f cm</t>
  </si>
  <si>
    <t>rpm</t>
  </si>
  <si>
    <t>http://motorbank.kr/shop/goods/goods_view.php?inflow=naverCheckout&amp;goodsno=98</t>
  </si>
  <si>
    <t>http://motorbank.kr/shop/goods/goods_view.php?goodsno=83&amp;category=002003</t>
  </si>
  <si>
    <t>http://motorbank.kr/shop/goods/goods_view.php?goodsno=81&amp;category=002003</t>
  </si>
  <si>
    <t>http://www.mechasolution.com/shop/goods/goods_view.php?goodsno=70744&amp;category=050002</t>
  </si>
  <si>
    <t>http://www.mechasolution.com/shop/goods/goods_view.php?goodsno=70857&amp;category=050002</t>
  </si>
  <si>
    <r>
      <t>2kg</t>
    </r>
    <r>
      <rPr>
        <sz val="12"/>
        <color theme="1"/>
        <rFont val="굴림"/>
        <family val="2"/>
        <charset val="129"/>
      </rPr>
      <t>에 바퀴 두개로 하중이 분산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</si>
</sst>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굴림"/>
      <family val="2"/>
      <charset val="129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otorbank.kr/shop/goods/goods_view.php?goodsno=81&amp;category=002003" TargetMode="External"/><Relationship Id="rId4" Type="http://schemas.openxmlformats.org/officeDocument/2006/relationships/hyperlink" Target="http://www.mechasolution.com/shop/goods/goods_view.php?goodsno=70744&amp;category=050002" TargetMode="External"/><Relationship Id="rId5" Type="http://schemas.openxmlformats.org/officeDocument/2006/relationships/hyperlink" Target="http://www.mechasolution.com/shop/goods/goods_view.php?goodsno=70857&amp;category=050002" TargetMode="External"/><Relationship Id="rId1" Type="http://schemas.openxmlformats.org/officeDocument/2006/relationships/hyperlink" Target="http://motorbank.kr/shop/goods/goods_view.php?inflow=naverCheckout&amp;goodsno=98" TargetMode="External"/><Relationship Id="rId2" Type="http://schemas.openxmlformats.org/officeDocument/2006/relationships/hyperlink" Target="http://motorbank.kr/shop/goods/goods_view.php?goodsno=83&amp;category=002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="125" zoomScaleNormal="125" zoomScalePageLayoutView="125" workbookViewId="0">
      <selection activeCell="E5" sqref="E5"/>
    </sheetView>
  </sheetViews>
  <sheetFormatPr baseColWidth="10" defaultRowHeight="15" x14ac:dyDescent="0"/>
  <cols>
    <col min="1" max="1" width="22.33203125" customWidth="1"/>
    <col min="7" max="7" width="14.6640625" customWidth="1"/>
  </cols>
  <sheetData>
    <row r="1" spans="1:5">
      <c r="A1" s="1" t="s">
        <v>0</v>
      </c>
      <c r="B1">
        <v>4.5</v>
      </c>
      <c r="C1" t="s">
        <v>1</v>
      </c>
      <c r="D1">
        <f>B1*1000/3600</f>
        <v>1.25</v>
      </c>
      <c r="E1" s="1" t="s">
        <v>11</v>
      </c>
    </row>
    <row r="2" spans="1:5">
      <c r="A2" s="1" t="s">
        <v>2</v>
      </c>
      <c r="B2">
        <v>10</v>
      </c>
      <c r="C2" s="1" t="s">
        <v>3</v>
      </c>
      <c r="D2" t="s">
        <v>4</v>
      </c>
    </row>
    <row r="3" spans="1:5">
      <c r="A3" s="1" t="s">
        <v>5</v>
      </c>
      <c r="B3" t="s">
        <v>6</v>
      </c>
    </row>
    <row r="4" spans="1:5">
      <c r="A4" s="1" t="s">
        <v>8</v>
      </c>
      <c r="B4">
        <v>1</v>
      </c>
      <c r="C4" t="s">
        <v>16</v>
      </c>
      <c r="D4" t="s">
        <v>17</v>
      </c>
      <c r="E4" t="s">
        <v>32</v>
      </c>
    </row>
    <row r="5" spans="1:5">
      <c r="A5" s="1" t="s">
        <v>9</v>
      </c>
    </row>
    <row r="6" spans="1:5">
      <c r="A6" s="1" t="s">
        <v>10</v>
      </c>
      <c r="B6">
        <v>1</v>
      </c>
      <c r="C6" s="1" t="s">
        <v>15</v>
      </c>
    </row>
    <row r="7" spans="1:5">
      <c r="A7" s="1" t="s">
        <v>12</v>
      </c>
      <c r="B7">
        <f>B2*PI()</f>
        <v>31.415926535897931</v>
      </c>
      <c r="C7" t="s">
        <v>3</v>
      </c>
      <c r="E7" s="1"/>
    </row>
    <row r="8" spans="1:5">
      <c r="A8" s="1" t="s">
        <v>13</v>
      </c>
      <c r="B8">
        <f>D1*100/B7</f>
        <v>3.9788735772973833</v>
      </c>
      <c r="C8" s="1" t="s">
        <v>14</v>
      </c>
      <c r="D8" s="2">
        <f>B8*60</f>
        <v>238.73241463784299</v>
      </c>
      <c r="E8" t="s">
        <v>26</v>
      </c>
    </row>
    <row r="13" spans="1:5">
      <c r="A13" s="1" t="s">
        <v>7</v>
      </c>
      <c r="B13">
        <f>B4*B2*B2/8</f>
        <v>12.5</v>
      </c>
      <c r="C13" s="1" t="s">
        <v>18</v>
      </c>
    </row>
    <row r="14" spans="1:5">
      <c r="A14" s="1" t="s">
        <v>19</v>
      </c>
      <c r="B14">
        <f>B13/980*2*PI()*B8/B6</f>
        <v>0.31887755102040816</v>
      </c>
      <c r="C14" t="s">
        <v>20</v>
      </c>
    </row>
    <row r="15" spans="1:5">
      <c r="A15" s="1" t="s">
        <v>21</v>
      </c>
      <c r="B15">
        <f>0.1*B4*B2/4</f>
        <v>0.25</v>
      </c>
      <c r="C15" t="s">
        <v>20</v>
      </c>
    </row>
    <row r="17" spans="1:3">
      <c r="A17" s="1" t="s">
        <v>22</v>
      </c>
      <c r="B17">
        <f>B14+B15</f>
        <v>0.56887755102040816</v>
      </c>
    </row>
    <row r="18" spans="1:3">
      <c r="A18" s="1" t="s">
        <v>23</v>
      </c>
      <c r="B18">
        <v>1.5</v>
      </c>
    </row>
    <row r="19" spans="1:3">
      <c r="A19" s="1" t="s">
        <v>24</v>
      </c>
      <c r="B19" s="2">
        <f>B17*B18</f>
        <v>0.85331632653061229</v>
      </c>
      <c r="C19" t="s">
        <v>25</v>
      </c>
    </row>
    <row r="26" spans="1:3">
      <c r="A26" s="3" t="s">
        <v>27</v>
      </c>
    </row>
    <row r="27" spans="1:3">
      <c r="A27" s="3" t="s">
        <v>28</v>
      </c>
    </row>
    <row r="28" spans="1:3">
      <c r="A28" s="3" t="s">
        <v>29</v>
      </c>
    </row>
    <row r="30" spans="1:3">
      <c r="A30" s="3" t="s">
        <v>30</v>
      </c>
    </row>
    <row r="31" spans="1:3">
      <c r="A31" s="3" t="s">
        <v>31</v>
      </c>
    </row>
  </sheetData>
  <hyperlinks>
    <hyperlink ref="A26" r:id="rId1"/>
    <hyperlink ref="A27" r:id="rId2"/>
    <hyperlink ref="A28" r:id="rId3"/>
    <hyperlink ref="A30" r:id="rId4"/>
    <hyperlink ref="A31" r:id="rId5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General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Seung Kim</dc:creator>
  <cp:lastModifiedBy>Ho Seung Kim</cp:lastModifiedBy>
  <dcterms:created xsi:type="dcterms:W3CDTF">2016-06-16T08:36:49Z</dcterms:created>
  <dcterms:modified xsi:type="dcterms:W3CDTF">2016-06-18T07:22:17Z</dcterms:modified>
</cp:coreProperties>
</file>